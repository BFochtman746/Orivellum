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rs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<sst xmlns="http://schemas.openxmlformats.org/spreadsheetml/2006/main" count="16" uniqueCount="16">
  <si>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Employee</t>
  </si>
  <si>
    <t xml:space="preserve">Mon</t>
  </si>
  <si>
    <t xml:space="preserve">Tue</t>
  </si>
  <si>
    <t xml:space="preserve">Wed</t>
  </si>
  <si>
    <t xml:space="preserve">Total</t>
  </si>
  <si>
    <t xml:space="preserve">Overtime pay</t>
  </si>
  <si>
    <t xml:space="preserve">Stamp</t>
  </si>
  <si>
    <t xml:space="preserve">Cole</t>
  </si>
  <si>
    <t xml:space="preserve">Lee</t>
  </si>
  <si>
    <t xml:space="preserve">Martin</t>
  </si>
  <si>
    <t xml:space="preserve">Seitz</t>
  </si>
  <si>
    <t xml:space="preserve">Ward</t>
  </si>
  <si>
    <t xml:space="preserve">TOTAL</t>
  </si>
  <si>
    <t xml:space="preserve">Role</t>
  </si>
  <si>
    <t xml:space="preserve">Rate</t>
  </si>
  <si>
    <t xml:space="preserve">Tech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</si>
</sst>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\ hh:mm\ AM/P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H1" s="0" t="s">
        <v>6</v>
      </c>
    </row>
    <row r="2" customFormat="false" ht="15" hidden="false" customHeight="false" outlineLevel="0" collapsed="false">
      <c r="A2" s="0" t="s">
        <v>7</v>
      </c>
      <c r="B2" s="0" t="n">
        <v>8</v>
      </c>
      <c r="C2" s="0" t="n">
        <v>8</v>
      </c>
      <c r="D2" s="0" t="n">
        <v>8</v>
      </c>
      <c r="E2" s="0" t="n">
        <f aca="false">SUM(B2:D2)</f>
        <v>24</v>
      </c>
      <c r="F2" s="0" t="n">
        <f aca="false">IF(E2&gt;40,(E2-40)*32.5,0)</f>
        <v>0</v>
      </c>
      <c r="H2" s="1" t="n">
        <f aca="true">NOW()</f>
        <v>46244.8255455811</v>
      </c>
    </row>
    <row r="3" customFormat="false" ht="15" hidden="false" customHeight="false" outlineLevel="0" collapsed="false">
      <c r="A3" s="0" t="s">
        <v>8</v>
      </c>
      <c r="B3" s="0" t="n">
        <v>8</v>
      </c>
      <c r="C3" s="0" t="n">
        <v>8</v>
      </c>
      <c r="D3" s="0" t="n">
        <v>8</v>
      </c>
      <c r="E3" s="0" t="n">
        <f aca="false">SUM(B3:D3)</f>
        <v>24</v>
      </c>
      <c r="F3" s="0" t="n">
        <f aca="false">IF(E3&gt;40,(E3-40)*32.5,0)</f>
        <v>0</v>
      </c>
      <c r="H3" s="0" t="n">
        <f aca="true">INDIRECT("Hours!B2")</f>
        <v>8</v>
      </c>
    </row>
    <row r="4" customFormat="false" ht="15" hidden="false" customHeight="false" outlineLevel="0" collapsed="false">
      <c r="A4" s="0" t="s">
        <v>9</v>
      </c>
      <c r="B4" s="0" t="n">
        <v>8</v>
      </c>
      <c r="C4" s="0" t="n">
        <v>8</v>
      </c>
      <c r="D4" s="0" t="n">
        <v>8</v>
      </c>
      <c r="E4" s="0" t="n">
        <f aca="false">SUM(B4:C4)</f>
        <v>16</v>
      </c>
      <c r="F4" s="0" t="n">
        <f aca="false">IF(E4&gt;40,(E4-40)*32.5,0)</f>
        <v>0</v>
      </c>
      <c r="H4" s="0" t="e">
        <f aca="false">xlookup("Lee",A2:A6,E2:E6)</f>
        <v>#NAME?</v>
      </c>
    </row>
    <row r="5" customFormat="false" ht="15" hidden="false" customHeight="false" outlineLevel="0" collapsed="false">
      <c r="A5" s="0" t="s">
        <v>10</v>
      </c>
      <c r="B5" s="0" t="n">
        <v>8</v>
      </c>
      <c r="C5" s="0" t="n">
        <v>8</v>
      </c>
      <c r="D5" s="0" t="n">
        <v>8</v>
      </c>
      <c r="E5" s="0" t="n">
        <f aca="false">SUM(B5:D5)</f>
        <v>24</v>
      </c>
      <c r="F5" s="0" t="n">
        <f aca="false">IF(E5&gt;40,(E5-40)*32.5,0)</f>
        <v>0</v>
      </c>
    </row>
    <row r="6" customFormat="false" ht="15" hidden="false" customHeight="false" outlineLevel="0" collapsed="false">
      <c r="A6" s="0" t="s">
        <v>11</v>
      </c>
      <c r="B6" s="0" t="n">
        <v>8</v>
      </c>
      <c r="C6" s="0" t="n">
        <v>8</v>
      </c>
      <c r="D6" s="0" t="n">
        <v>6</v>
      </c>
      <c r="E6" s="0" t="n">
        <f aca="false">SUM(B6:D6)</f>
        <v>22</v>
      </c>
      <c r="F6" s="0" t="n">
        <f aca="false">IF(E6&gt;40,(E6-40)*32.5,0)</f>
        <v>0</v>
      </c>
    </row>
    <row r="8" customFormat="false" ht="15" hidden="false" customHeight="false" outlineLevel="0" collapsed="false">
      <c r="A8" s="0" t="s">
        <v>12</v>
      </c>
      <c r="E8" s="0" t="n">
        <f aca="false">SUM(E2:E5)</f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</row>
    <row r="2" customFormat="false" ht="15" hidden="false" customHeight="false" outlineLevel="0" collapsed="false">
      <c r="A2" s="0" t="s">
        <v>15</v>
      </c>
      <c r="B2" s="0" t="n">
        <v>32.5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2026-08-10T19:48:43Z</dcterms:created>
  <dc:creator>openpyxl</dc:creator>
  <dc:description/>
  <dc:language>en-US</dc:language>
  <cp:lastModifiedBy/>
  <dcterms:modified xsi:type="dcterms:W3CDTF">2026-08-10T19:48:43Z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